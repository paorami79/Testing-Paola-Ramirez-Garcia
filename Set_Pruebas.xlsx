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https://greensqa-my.sharepoint.com/personal/paoramirez_greensqa_com/Documents/"/>
    </mc:Choice>
  </mc:AlternateContent>
  <xr:revisionPtr revIDLastSave="1" documentId="8_{20A9C8FA-8B83-42CF-AB02-183EB609421B}" xr6:coauthVersionLast="47" xr6:coauthVersionMax="47" xr10:uidLastSave="{FCFB6921-AB94-4987-9EA6-F3C47FE88A9C}"/>
  <bookViews>
    <workbookView xWindow="-120" yWindow="-120" windowWidth="21840" windowHeight="13020" xr2:uid="{00000000-000D-0000-FFFF-FFFF00000000}"/>
  </bookViews>
  <sheets>
    <sheet name="Casos GAP" sheetId="1" r:id="rId1"/>
    <sheet name="Amortización francesa" sheetId="3" state="hidden" r:id="rId2"/>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3" l="1"/>
  <c r="F13" i="3"/>
  <c r="U12" i="3"/>
  <c r="F12" i="3"/>
  <c r="U11" i="3"/>
  <c r="F11" i="3"/>
  <c r="U10" i="3"/>
  <c r="F10" i="3"/>
  <c r="U9" i="3"/>
  <c r="F9" i="3"/>
  <c r="U8" i="3"/>
  <c r="F8" i="3"/>
  <c r="U7" i="3"/>
  <c r="F7" i="3"/>
  <c r="U6" i="3"/>
  <c r="F6" i="3"/>
  <c r="U5" i="3"/>
  <c r="F5" i="3"/>
  <c r="U4" i="3"/>
  <c r="F4" i="3"/>
  <c r="U3" i="3"/>
  <c r="F3" i="3"/>
  <c r="U2" i="3"/>
  <c r="F2" i="3"/>
  <c r="H2" i="3" l="1"/>
  <c r="Q2" i="3" s="1"/>
  <c r="G2" i="3"/>
  <c r="I2" i="3" l="1"/>
  <c r="P2" i="3"/>
  <c r="G3" i="3"/>
  <c r="G4" i="3"/>
  <c r="G5" i="3"/>
  <c r="G6" i="3"/>
  <c r="G7" i="3"/>
  <c r="G8" i="3"/>
  <c r="G9" i="3"/>
  <c r="G10" i="3"/>
  <c r="G11" i="3"/>
  <c r="G12" i="3"/>
  <c r="G13" i="3"/>
  <c r="J2" i="3" l="1"/>
  <c r="R2" i="3"/>
  <c r="P3" i="3"/>
  <c r="P4" i="3"/>
  <c r="P5" i="3"/>
  <c r="P6" i="3"/>
  <c r="P7" i="3"/>
  <c r="P8" i="3"/>
  <c r="P9" i="3"/>
  <c r="P10" i="3"/>
  <c r="P11" i="3"/>
  <c r="P12" i="3"/>
  <c r="P13" i="3"/>
  <c r="S2" i="3" l="1"/>
  <c r="E3" i="3"/>
  <c r="H3" i="3" l="1"/>
  <c r="I3" i="3" l="1"/>
  <c r="Q3" i="3"/>
  <c r="J3" i="3" l="1"/>
  <c r="R3" i="3"/>
  <c r="E4" i="3" l="1"/>
  <c r="S3" i="3"/>
  <c r="H4" i="3" l="1"/>
  <c r="I4" i="3" l="1"/>
  <c r="Q4" i="3"/>
  <c r="J4" i="3" l="1"/>
  <c r="R4" i="3"/>
  <c r="E5" i="3" l="1"/>
  <c r="S4" i="3"/>
  <c r="H5" i="3" l="1"/>
  <c r="I5" i="3" l="1"/>
  <c r="Q5" i="3"/>
  <c r="J5" i="3" l="1"/>
  <c r="R5" i="3"/>
  <c r="E6" i="3" l="1"/>
  <c r="S5" i="3"/>
  <c r="H6" i="3" l="1"/>
  <c r="I6" i="3" l="1"/>
  <c r="Q6" i="3"/>
  <c r="J6" i="3" l="1"/>
  <c r="R6" i="3"/>
  <c r="E7" i="3" l="1"/>
  <c r="S6" i="3"/>
  <c r="H7" i="3" l="1"/>
  <c r="I7" i="3" l="1"/>
  <c r="Q7" i="3"/>
  <c r="J7" i="3" l="1"/>
  <c r="R7" i="3"/>
  <c r="E8" i="3" l="1"/>
  <c r="S7" i="3"/>
  <c r="H8" i="3" l="1"/>
  <c r="I8" i="3" l="1"/>
  <c r="Q8" i="3"/>
  <c r="J8" i="3" l="1"/>
  <c r="R8" i="3"/>
  <c r="E9" i="3" l="1"/>
  <c r="S8" i="3"/>
  <c r="H9" i="3" l="1"/>
  <c r="I9" i="3" l="1"/>
  <c r="Q9" i="3"/>
  <c r="J9" i="3" l="1"/>
  <c r="R9" i="3"/>
  <c r="E10" i="3" l="1"/>
  <c r="S9" i="3"/>
  <c r="H10" i="3" l="1"/>
  <c r="I10" i="3" l="1"/>
  <c r="Q10" i="3"/>
  <c r="J10" i="3" l="1"/>
  <c r="R10" i="3"/>
  <c r="E11" i="3" l="1"/>
  <c r="S10" i="3"/>
  <c r="H11" i="3" l="1"/>
  <c r="I11" i="3" l="1"/>
  <c r="Q11" i="3"/>
  <c r="J11" i="3" l="1"/>
  <c r="R11" i="3"/>
  <c r="E12" i="3" l="1"/>
  <c r="S11" i="3"/>
  <c r="H12" i="3" l="1"/>
  <c r="I12" i="3" l="1"/>
  <c r="Q12" i="3"/>
  <c r="J12" i="3" l="1"/>
  <c r="R12" i="3"/>
  <c r="E13" i="3" l="1"/>
  <c r="S12" i="3"/>
  <c r="H13" i="3" l="1"/>
  <c r="I13" i="3" l="1"/>
  <c r="Q13" i="3"/>
  <c r="J13" i="3" l="1"/>
  <c r="S13" i="3" s="1"/>
  <c r="R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F2" authorId="0" shapeId="0" xr:uid="{00000000-0006-0000-0200-000001000000}">
      <text>
        <r>
          <rPr>
            <sz val="11"/>
            <color theme="1"/>
            <rFont val="Calibri"/>
            <family val="2"/>
            <scheme val="minor"/>
          </rPr>
          <t>Supuesto propuesto para el ejemplo: tasa periódica mensual = tasa nominal anual / 12. Sustituir si la parametrización contractual usa otra conversión.</t>
        </r>
      </text>
    </comment>
    <comment ref="G2" authorId="0" shapeId="0" xr:uid="{00000000-0006-0000-0200-000002000000}">
      <text>
        <r>
          <rPr>
            <sz val="11"/>
            <color theme="1"/>
            <rFont val="Calibri"/>
            <family val="2"/>
            <scheme val="minor"/>
          </rPr>
          <t>Método francés: cuota constante calculada con PMT. La última cuota puede absorber diferencias de redondeo.</t>
        </r>
      </text>
    </comment>
  </commentList>
</comments>
</file>

<file path=xl/sharedStrings.xml><?xml version="1.0" encoding="utf-8"?>
<sst xmlns="http://schemas.openxmlformats.org/spreadsheetml/2006/main" count="170" uniqueCount="129">
  <si>
    <t>ID</t>
  </si>
  <si>
    <t>Caso Azure (suite-ID)</t>
  </si>
  <si>
    <t>Título</t>
  </si>
  <si>
    <t>Precondiciones</t>
  </si>
  <si>
    <t>Pasos</t>
  </si>
  <si>
    <t>Resultado Esperado</t>
  </si>
  <si>
    <t>UAT-PS-001</t>
  </si>
  <si>
    <t>Propuesto</t>
  </si>
  <si>
    <t>UAT-PS-002</t>
  </si>
  <si>
    <t>UAT-PS-003</t>
  </si>
  <si>
    <t>UAT-PS-004</t>
  </si>
  <si>
    <t>UAT-PS-005</t>
  </si>
  <si>
    <t>UAT-PS-006</t>
  </si>
  <si>
    <t>UAT-PS-007</t>
  </si>
  <si>
    <t>UAT-PS-008</t>
  </si>
  <si>
    <t>UAT-PS-009</t>
  </si>
  <si>
    <t>UAT-PS-010</t>
  </si>
  <si>
    <t>UAT-PS-011</t>
  </si>
  <si>
    <t>UAT-PS-012</t>
  </si>
  <si>
    <t>UAT-PS-013</t>
  </si>
  <si>
    <t>UAT-PS-014</t>
  </si>
  <si>
    <t>UAT-PS-015</t>
  </si>
  <si>
    <t>UAT-PS-016</t>
  </si>
  <si>
    <t>Escenario</t>
  </si>
  <si>
    <t>N.º cuota</t>
  </si>
  <si>
    <t>Fecha inicial</t>
  </si>
  <si>
    <t>Fecha final</t>
  </si>
  <si>
    <t>Saldo inicial simulador</t>
  </si>
  <si>
    <t>Tasa periódica simulador</t>
  </si>
  <si>
    <t>Cuota simulador</t>
  </si>
  <si>
    <t>Interés simulador</t>
  </si>
  <si>
    <t>Capital simulador</t>
  </si>
  <si>
    <t>Saldo final simulador</t>
  </si>
  <si>
    <t>Saldo inicial PayStudio</t>
  </si>
  <si>
    <t>Cuota PayStudio</t>
  </si>
  <si>
    <t>Interés PayStudio</t>
  </si>
  <si>
    <t>Capital PayStudio</t>
  </si>
  <si>
    <t>Saldo final PayStudio</t>
  </si>
  <si>
    <t>Dif. cuota</t>
  </si>
  <si>
    <t>Dif. interés</t>
  </si>
  <si>
    <t>Dif. capital</t>
  </si>
  <si>
    <t>Dif. saldo</t>
  </si>
  <si>
    <t>Tolerancia COP</t>
  </si>
  <si>
    <t>Resultado</t>
  </si>
  <si>
    <t>Evidencia</t>
  </si>
  <si>
    <t>Base COP 1.000.000 / 18% / 12 meses</t>
  </si>
  <si>
    <t>GAP Correspondiente</t>
  </si>
  <si>
    <t>GAP- Operaciones Manuales - Masivas</t>
  </si>
  <si>
    <t>Procesar archivo de Cambios Masivos con datos conformes</t>
  </si>
  <si>
    <t>Procesar operación manual para cuenta débito</t>
  </si>
  <si>
    <t>Procesar operación manual financiada para cuenta débito</t>
  </si>
  <si>
    <t>Procesar servicio para cuenta débito</t>
  </si>
  <si>
    <t>Procesar operación manual para cuenta crédito</t>
  </si>
  <si>
    <t>Procesar operación manual financiada para cuenta crédito</t>
  </si>
  <si>
    <t>Procesar servicio para cuenta crédito</t>
  </si>
  <si>
    <t>Rechazar layout no correspondiente al proceso</t>
  </si>
  <si>
    <t>Rechazar archivo con estructura incompleta</t>
  </si>
  <si>
    <t>Rechazar archivo con estructura diferente</t>
  </si>
  <si>
    <t>Rechazar registro con dato obligatorio ausente</t>
  </si>
  <si>
    <t>Rechazar registro con formato no conforme</t>
  </si>
  <si>
    <t>Rechazar registro con código no definido</t>
  </si>
  <si>
    <t>Rechazar registro inconsistente</t>
  </si>
  <si>
    <t>Descripción</t>
  </si>
  <si>
    <t>Verificar el ingreso masivo de una operación manual asociada a una cuenta débito.</t>
  </si>
  <si>
    <t>Verificar el ingreso masivo de una operación manual financiada asociada a una cuenta débito.</t>
  </si>
  <si>
    <t>Verificar el ingreso masivo de un servicio asociado a una cuenta débito.</t>
  </si>
  <si>
    <t>Verificar el ingreso masivo de una operación manual asociada a una cuenta crédito.</t>
  </si>
  <si>
    <t>Verificar el ingreso masivo de una operación manual financiada asociada a una cuenta crédito.</t>
  </si>
  <si>
    <t>Verificar el ingreso masivo de un servicio asociado a una cuenta crédito.</t>
  </si>
  <si>
    <t>Verificar que el sistema rechace un archivo cuyo layout no corresponde al proceso seleccionado.</t>
  </si>
  <si>
    <t>Verificar que el sistema rechace un archivo de Cambios Masivos al que le faltan elementos de la estructura definida.</t>
  </si>
  <si>
    <t>Verificar que el sistema rechace un archivo cuya estructura no corresponde a la definida para Cambios Masivos.</t>
  </si>
  <si>
    <t>Verificar que el sistema rechace un registro que no contiene todos los datos obligatorios.</t>
  </si>
  <si>
    <t>Verificar que el sistema rechace un registro que contiene un dato con formato diferente al definido.</t>
  </si>
  <si>
    <t>Verificar que el sistema rechace un registro que contiene un código no definido para el layout.</t>
  </si>
  <si>
    <t>Verificar que el sistema rechace un registro de servicio cuyos datos no mantienen consistencia entre sí.</t>
  </si>
  <si>
    <t>Verificar el procesamiento de un archivo de Cambios Masivos cuya estructura, obligatoriedad, formatos, códigos y consistencia cumplen las reglas definidas</t>
  </si>
  <si>
    <t>El usuario tiene disponible un archivo `Layout-CambiosMasivos.xlsx` con registros completos y consistentes. El proceso seleccionado corresponde al layout.</t>
  </si>
  <si>
    <t>El usuario tiene disponible un archivo `Layout-IngresoMasivoOperaciones.xlsx` con una operación manual para una cuenta débito. Los datos cumplen las reglas definidas.</t>
  </si>
  <si>
    <t>El usuario tiene disponible un archivo `Layout-IngresoMasivoOperaciones.xlsx` con una operación manual financiada para una cuenta débito. Los datos cumplen las reglas definidas.</t>
  </si>
  <si>
    <t>El usuario tiene disponible un archivo `Layout-IngresoMasivoOperaciones.xlsx` con un servicio para una cuenta débito. Los datos cumplen las reglas definidas.</t>
  </si>
  <si>
    <t>El usuario tiene disponible un archivo `Layout-IngresoMasivoOperaciones.xlsx` con una operación manual para una cuenta crédito. Los datos cumplen las reglas definidas.</t>
  </si>
  <si>
    <t>El usuario tiene disponible un archivo `Layout-IngresoMasivoOperaciones.xlsx` con una operación manual financiada para una cuenta crédito. Los datos cumplen las reglas definidas.</t>
  </si>
  <si>
    <t>El usuario tiene disponible un archivo `Layout-IngresoMasivoOperaciones.xlsx` con un servicio para una cuenta crédito. Los datos cumplen las reglas definidas.</t>
  </si>
  <si>
    <t>El usuario selecciona el proceso Cambios Masivos y tiene disponible un archivo `Layout-IngresoMasivoOperaciones.xlsx`.</t>
  </si>
  <si>
    <t>El usuario selecciona el proceso Cambios Masivos y dispone de un archivo con estructura incompleta.</t>
  </si>
  <si>
    <t>El usuario selecciona el proceso Cambios Masivos y dispone de un archivo con una estructura diferente a la definida.</t>
  </si>
  <si>
    <t>El usuario dispone de un archivo de Cambios Masivos con estructura definida y al menos un registro sin un dato obligatorio.</t>
  </si>
  <si>
    <t>El usuario dispone de un archivo de ingreso masivo con una operación manual para una cuenta débito y al menos un dato con formato no conforme.</t>
  </si>
  <si>
    <t>El usuario dispone de un archivo de ingreso masivo con una operación manual financiada para una cuenta crédito y un código no definido.</t>
  </si>
  <si>
    <t>El usuario dispone de un archivo de ingreso masivo con un servicio para una cuenta crédito y datos inconsistentes.</t>
  </si>
  <si>
    <t>1.el usuario dispone de un archivo `Layout-CambiosMasivos.xlsx` con datos completos, formatos definidos y códigos reconocidos
2. el usuario selecciona el proceso Cambios Masivos
3. carga el archivo
4.inicia el procesamiento</t>
  </si>
  <si>
    <t>1. el usuario dispone de un archivo `Layout-IngresoMasivoOperaciones.xlsx` con una operación manual para una cuenta débito
2. el usuario selecciona el proceso Ingreso masivo de operaciones manuales
3. el archivo
4. el procesamiento</t>
  </si>
  <si>
    <t>1. el usuario dispone de un archivo `Layout-IngresoMasivoOperaciones.xlsx` con una operación manual financiada para una cuenta débito
2. el usuario selecciona el proceso Ingreso masivo de operaciones manuales
3. carga el archivo
4.inicia el procesamiento</t>
  </si>
  <si>
    <t>1. el usuario dispone de un archivo `Layout-IngresoMasivoOperaciones.xlsx` con un servicio para una cuenta débito
2. el usuario selecciona el proceso Ingreso masivo de operaciones manuales
3. carga el archivo
4.inicia el procesamiento</t>
  </si>
  <si>
    <t>1. el usuario dispone de un archivo `Layout-IngresoMasivoOperaciones.xlsx` con una operación manual para una cuenta crédito
2. el usuario selecciona el proceso Ingreso masivo de operaciones manuales
3. carga el archivo
4.inicia el procesamiento</t>
  </si>
  <si>
    <t>1. el usuario dispone de un archivo `Layout-IngresoMasivoOperaciones.xlsx` con una operación manual financiada para una cuenta crédito
2. el usuario selecciona el proceso Ingreso masivo de operaciones manuales
3. carga el archivo
4.inicia el procesamiento</t>
  </si>
  <si>
    <t>1. el usuario dispone de un archivo `Layout-IngresoMasivoOperaciones.xlsx` con un servicio para una cuenta crédito
2. el usuario selecciona el proceso Ingreso masivo de operaciones manuales
3. carga el archivo
4.inicia el procesamiento</t>
  </si>
  <si>
    <t>1. el usuario selecciona el proceso Cambios Masivos
2. dispone de un archivo correspondiente al proceso Ingreso masivo de operaciones manuales
3. carga el archivo
4.inicia el procesamiento</t>
  </si>
  <si>
    <t>1. el usuario selecciona el proceso Cambios Masivos
2. dispone de un archivo con estructura incompleta respecto al layout definido
3. carga el archivo
4.inicia el procesamiento</t>
  </si>
  <si>
    <t>1. el usuario dispone de un archivo de Cambios Masivos con un registro sin un dato obligatorio
2. carga el archivo
3.inicia el procesamiento</t>
  </si>
  <si>
    <t>1. el usuario dispone de un archivo de ingreso masivo con una operación manual para una cuenta débito
2. el registro contiene un dato con formato diferente al definido
3. carga el archivo
4.inicia el procesamiento</t>
  </si>
  <si>
    <t>1. el usuario dispone de un archivo de ingreso masivo con una operación manual financiada para una cuenta crédito
2. el registro contiene un código no definido para el layout
3. carga el archivo
4.inicia el procesamiento</t>
  </si>
  <si>
    <t>1. el usuario dispone de un archivo de ingreso masivo con un servicio para una cuenta crédito
2. el registro contiene datos inconsistentes entre sí
3. carga el archivo
4.inicia el procesamiento</t>
  </si>
  <si>
    <t>1. el usuario selecciona el proceso Cambios Masivos
 dispone de un archivo con una estructura diferente a la definida para el proceso
2. carga el archivo
4. el procesamiento</t>
  </si>
  <si>
    <t xml:space="preserve">  el sistema valida la estructura y los datos del archivo
 procesa correctamente el servicio
 informa el registro procesado
 refleja la información procesada en las pantallas operativas correspondientes del BO
 permite consultar la identificación de la operación generada en PayStudio y en la reportería correspondiente</t>
  </si>
  <si>
    <t xml:space="preserve">  el sistema detecta la diferencia entre la estructura recibida y la estructura definida
 informa el motivo del rechazo
  no procesa los registros afectados</t>
  </si>
  <si>
    <t>Procesar castigo con clasificación y comentarios</t>
  </si>
  <si>
    <t>Procesar castigo con comentarios sin clasificación</t>
  </si>
  <si>
    <t>GAP 10 - Cambios estados Masivos</t>
  </si>
  <si>
    <t>Verificar el procesamiento exitoso de una cuenta con deuda mayor que cero, rubros configurados, clasificación y comentarios informados.</t>
  </si>
  <si>
    <t>Existe un archivo `Layout-CastigoMasivo.xlsx` con estructura definida. La cuenta existe para el emisor, el código está configurado y corresponde a Castigado, la deuda es mayor que cero y existen rubros de castigo configurados. La clasificación y los comentarios están informados.</t>
  </si>
  <si>
    <t>Verificar el procesamiento exitoso de una cuenta cuando se informan comentarios y se omite la clasificación de Castigo.</t>
  </si>
  <si>
    <t>Existe un archivo `Layout-CastigoMasivo.xlsx` con estructura definida. La cuenta existe para el emisor, el código está configurado y corresponde a Castigado, la deuda es mayor que cero y existen rubros de castigo configurados. La clasificación no está informada y los comentarios sí están informados.</t>
  </si>
  <si>
    <t xml:space="preserve"> 1. el usuario dispone de un archivo `Layout-CastigoMasivo.xlsx` con una cuenta que cumple todas las condiciones de procesamiento
2. el registro contiene clasificación de Castigo y comentarios
3. el usuario carga el archivo
4. inicia una ejecución masiva</t>
  </si>
  <si>
    <t xml:space="preserve"> 1. el usuario dispone de un archivo `Layout-CastigoMasivo.xlsx` con una cuenta que cumple todas las condiciones de procesamiento
2. el registro no contiene clasificación de Castigo
3. el registro contiene comentarios
4.When el usuario carga el archivo
5. inicia una ejecución masiva</t>
  </si>
  <si>
    <t>* el sistema valida la estructura y la información del registro
* cambia el estado de la cuenta al código parametrizado como Castigado
* reclasifica el saldo hacia los rubros de castigo configurados
* registra el evento en el histórico de cambios de estado
* almacena la clasificación de Castigo y los comentarios asociados al evento
* genera el archivo de salida con la cuenta, el resultado, el código de respuesta y la descripción
* refleja el castigo en las pantallas operativas correspondientes de PayStudio y en la reportería aplicable</t>
  </si>
  <si>
    <t>* el sistema valida la estructura y la información del registro
* cambia el estado de la cuenta al código parametrizado como Castigado
* reclasifica el saldo hacia los rubros de castigo configurados
* registra el evento en el histórico de cambios de estado
* almacena los comentarios asociados al evento
But no registra una clasificación de Castigo para el evento
* genera el archivo de salida con la cuenta, el resultado, el código de respuesta y la descripción
* refleja el castigo en las pantallas operativas correspondientes de PayStudio y en la reportería aplicable</t>
  </si>
  <si>
    <t>*el sistema valida la estructura y los datos del archivo
procesa correctamente los registros
*informa los registros procesados
*refleja la información procesada en las pantallas operativas correspondientes del BO
*permite consultar la identificación de las operaciones generadas en PayStudio y en la reportería correspondiente</t>
  </si>
  <si>
    <t>* el sistema valida la estructura y los datos del archivo
procesa correctamente la operación manual
* informa el registro procesado
*refleja la información procesada en las pantallas operativas correspondientes del BO
* permite consultar la identificación de la operación generada en PayStudio y en la reportería correspondiente</t>
  </si>
  <si>
    <t>* el sistema valida la consistencia de los datos del registro
* rechaza el registro inconsistente
*informa el motivo del rechazo no procesa el servicio asociado al registro rechazado</t>
  </si>
  <si>
    <t>*  el sistema valida los códigos informados en el registro
* rechaza el registro que contiene el código no definido
* informa el motivo del rechazo
* no procesa la operación asociada al registro rechazado</t>
  </si>
  <si>
    <t>*  el sistema valida el formato de los datos del registro
* rechaza el registro con formato no conforme
* informa el motivo del rechazo
* no procesa la operación asociada al registro rechazado</t>
  </si>
  <si>
    <t>*  el sistema valida la obligatoriedad de los datos del registro
* rechaza el registro que tiene el dato obligatorio ausente
* informa el motivo del rechazo
* no aplica los cambios asociados al registro rechazado</t>
  </si>
  <si>
    <t>*  el sistema detecta la estructura incompleta
* informa el motivo del rechazo
* no procesa los registros afectados</t>
  </si>
  <si>
    <t>*  el sistema detecta que el layout no corresponde al proceso seleccionado
* informa el motivo del rechazo
* no procesa los registros del archivo</t>
  </si>
  <si>
    <t>*  el sistema valida la estructura y los datos del archivo
* procesa correctamente la operación manual financiada
* informa el registro procesado
* refleja la información procesada en las pantallas operativas correspondientes del BO
* permite consultar la identificación de la operación generada en PayStudio y en la reportería correspondiente</t>
  </si>
  <si>
    <t>* el sistema valida la estructura y los datos del archivo
*  procesa correctamente la operación manual
* informa el registro procesado
*  refleja la información procesada en las pantallas operativas correspondientes del BO
* permite consultar la identificación de la operación generada en PayStudio y en la reportería correspondiente</t>
  </si>
  <si>
    <t>*  el sistema valida la estructura y los datos del archivo
* procesa correctamente el servicio
* informa el registro procesado
* refleja la información procesada en las pantallas operativas correspondientes del BO
* permite consultar la identificación de la operación generada en PayStudio y en la reportería correspondiente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</si>
</sst>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0.0000%"/>
  </numFmts>
  <fonts count="8" x14ac:knownFonts="1">
    <font>
      <sz val="11"/>
      <color theme="1"/>
      <name val="Calibri"/>
      <family val="2"/>
      <scheme val="minor"/>
    </font>
    <font>
      <b/>
      <sz val="11"/>
      <color rgb="FFFFFFFF"/>
      <name val="Calibri"/>
    </font>
    <font>
      <sz val="10"/>
      <color rgb="FF666666"/>
      <name val="Calibri"/>
    </font>
    <font>
      <sz val="11"/>
      <color rgb="FF0000FF"/>
      <name val="Calibri"/>
    </font>
    <font>
      <sz val="10"/>
      <color rgb="FF666666"/>
      <name val="Calibri"/>
      <family val="2"/>
    </font>
    <font>
      <b/>
      <sz val="11"/>
      <color rgb="FFFFFFFF"/>
      <name val="Calibri"/>
      <family val="2"/>
    </font>
    <font>
      <sz val="10"/>
      <color rgb="FF008000"/>
      <name val="Calibri"/>
      <family val="2"/>
    </font>
    <font>
      <sz val="8"/>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164" fontId="0" fillId="0" borderId="0" xfId="0" applyNumberFormat="1" applyAlignment="1">
      <alignment vertical="top" wrapText="1"/>
    </xf>
    <xf numFmtId="164" fontId="3" fillId="0" borderId="0" xfId="0" applyNumberFormat="1" applyFont="1" applyAlignment="1">
      <alignment vertical="top" wrapText="1"/>
    </xf>
    <xf numFmtId="165" fontId="0" fillId="0" borderId="0" xfId="0" applyNumberFormat="1" applyAlignment="1">
      <alignment vertical="top" wrapText="1"/>
    </xf>
    <xf numFmtId="0" fontId="5" fillId="2" borderId="0" xfId="0" applyFont="1" applyFill="1" applyAlignment="1">
      <alignment horizontal="center" vertical="center" wrapText="1"/>
    </xf>
    <xf numFmtId="0" fontId="4" fillId="0" borderId="0" xfId="0" applyFont="1" applyAlignment="1">
      <alignment vertical="top" wrapText="1"/>
    </xf>
    <xf numFmtId="0" fontId="6" fillId="0" borderId="0" xfId="0" applyFont="1" applyAlignment="1">
      <alignment vertical="top" wrapText="1"/>
    </xf>
  </cellXfs>
  <cellStyles count="1">
    <cellStyle name="Normal" xfId="0" builtinId="0"/>
  </cellStyles>
  <dxfs count="3">
    <dxf>
      <fill>
        <patternFill patternType="solid">
          <fgColor rgb="FFF4CCCC"/>
        </patternFill>
      </fill>
    </dxf>
    <dxf>
      <fill>
        <patternFill patternType="solid">
          <fgColor rgb="FFE2F0D9"/>
        </patternFill>
      </fill>
    </dxf>
    <dxf>
      <font>
        <b val="0"/>
        <i val="0"/>
        <strike val="0"/>
        <condense val="0"/>
        <extend val="0"/>
        <outline val="0"/>
        <shadow val="0"/>
        <u val="none"/>
        <vertAlign val="baseline"/>
        <sz val="10"/>
        <color rgb="FF666666"/>
        <name val="Calibri"/>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CasosUAT" displayName="TablaCasosUAT" ref="A1:H17">
  <autoFilter ref="A1:H17" xr:uid="{00000000-0009-0000-0100-000001000000}"/>
  <tableColumns count="8">
    <tableColumn id="1" xr3:uid="{00000000-0010-0000-0000-000001000000}" name="ID"/>
    <tableColumn id="2" xr3:uid="{3AD7EC52-B299-444F-91BB-ACA2B3A752EA}" name="GAP Correspondiente" dataDxfId="2"/>
    <tableColumn id="4" xr3:uid="{00000000-0010-0000-0000-000004000000}" name="Caso Azure (suite-ID)"/>
    <tableColumn id="5" xr3:uid="{00000000-0010-0000-0000-000005000000}" name="Título"/>
    <tableColumn id="6" xr3:uid="{00000000-0010-0000-0000-000006000000}" name="Descripción"/>
    <tableColumn id="9" xr3:uid="{00000000-0010-0000-0000-000009000000}" name="Precondiciones"/>
    <tableColumn id="11" xr3:uid="{00000000-0010-0000-0000-00000B000000}" name="Pasos"/>
    <tableColumn id="12" xr3:uid="{00000000-0010-0000-0000-00000C000000}" name="Resultado Esper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MetodoFrances" displayName="TablaMetodoFrances" ref="A1:V13">
  <autoFilter ref="A1:V13" xr:uid="{00000000-0009-0000-0100-000002000000}"/>
  <tableColumns count="22">
    <tableColumn id="1" xr3:uid="{00000000-0010-0000-0100-000001000000}" name="Escenario"/>
    <tableColumn id="2" xr3:uid="{00000000-0010-0000-0100-000002000000}" name="N.º cuota"/>
    <tableColumn id="3" xr3:uid="{00000000-0010-0000-0100-000003000000}" name="Fecha inicial"/>
    <tableColumn id="4" xr3:uid="{00000000-0010-0000-0100-000004000000}" name="Fecha final"/>
    <tableColumn id="5" xr3:uid="{00000000-0010-0000-0100-000005000000}" name="Saldo inicial simulador"/>
    <tableColumn id="6" xr3:uid="{00000000-0010-0000-0100-000006000000}" name="Tasa periódica simulador"/>
    <tableColumn id="7" xr3:uid="{00000000-0010-0000-0100-000007000000}" name="Cuota simulador"/>
    <tableColumn id="8" xr3:uid="{00000000-0010-0000-0100-000008000000}" name="Interés simulador"/>
    <tableColumn id="9" xr3:uid="{00000000-0010-0000-0100-000009000000}" name="Capital simulador"/>
    <tableColumn id="10" xr3:uid="{00000000-0010-0000-0100-00000A000000}" name="Saldo final simulador"/>
    <tableColumn id="11" xr3:uid="{00000000-0010-0000-0100-00000B000000}" name="Saldo inicial PayStudio"/>
    <tableColumn id="12" xr3:uid="{00000000-0010-0000-0100-00000C000000}" name="Cuota PayStudio"/>
    <tableColumn id="13" xr3:uid="{00000000-0010-0000-0100-00000D000000}" name="Interés PayStudio"/>
    <tableColumn id="14" xr3:uid="{00000000-0010-0000-0100-00000E000000}" name="Capital PayStudio"/>
    <tableColumn id="15" xr3:uid="{00000000-0010-0000-0100-00000F000000}" name="Saldo final PayStudio"/>
    <tableColumn id="16" xr3:uid="{00000000-0010-0000-0100-000010000000}" name="Dif. cuota"/>
    <tableColumn id="17" xr3:uid="{00000000-0010-0000-0100-000011000000}" name="Dif. interés"/>
    <tableColumn id="18" xr3:uid="{00000000-0010-0000-0100-000012000000}" name="Dif. capital"/>
    <tableColumn id="19" xr3:uid="{00000000-0010-0000-0100-000013000000}" name="Dif. saldo"/>
    <tableColumn id="20" xr3:uid="{00000000-0010-0000-0100-000014000000}" name="Tolerancia COP"/>
    <tableColumn id="21" xr3:uid="{00000000-0010-0000-0100-000015000000}" name="Resultado"/>
    <tableColumn id="22" xr3:uid="{00000000-0010-0000-0100-000016000000}" name="Evidencia"/>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tabSelected="1" workbookViewId="0">
      <pane ySplit="1" topLeftCell="A17" activePane="bottomLeft" state="frozen"/>
      <selection pane="bottomLeft" activeCell="A18" sqref="A18:XFD165"/>
    </sheetView>
  </sheetViews>
  <sheetFormatPr baseColWidth="10" defaultColWidth="9.140625" defaultRowHeight="15" x14ac:dyDescent="0.25"/>
  <cols>
    <col min="1" max="1" width="15" customWidth="1"/>
    <col min="2" max="2" width="22.85546875" customWidth="1"/>
    <col min="3" max="3" width="25" customWidth="1"/>
    <col min="4" max="4" width="40" customWidth="1"/>
    <col min="5" max="5" width="26" customWidth="1"/>
    <col min="6" max="6" width="42" customWidth="1"/>
    <col min="7" max="7" width="55" customWidth="1"/>
    <col min="8" max="8" width="58" customWidth="1"/>
  </cols>
  <sheetData>
    <row r="1" spans="1:8" x14ac:dyDescent="0.25">
      <c r="A1" s="1" t="s">
        <v>0</v>
      </c>
      <c r="B1" s="7" t="s">
        <v>46</v>
      </c>
      <c r="C1" s="1" t="s">
        <v>1</v>
      </c>
      <c r="D1" s="1" t="s">
        <v>2</v>
      </c>
      <c r="E1" s="7" t="s">
        <v>62</v>
      </c>
      <c r="F1" s="1" t="s">
        <v>3</v>
      </c>
      <c r="G1" s="1" t="s">
        <v>4</v>
      </c>
      <c r="H1" s="1" t="s">
        <v>5</v>
      </c>
    </row>
    <row r="2" spans="1:8" ht="92.1" customHeight="1" x14ac:dyDescent="0.25">
      <c r="A2" s="2" t="s">
        <v>6</v>
      </c>
      <c r="B2" s="8" t="s">
        <v>47</v>
      </c>
      <c r="C2" s="2" t="s">
        <v>7</v>
      </c>
      <c r="D2" s="8" t="s">
        <v>48</v>
      </c>
      <c r="E2" s="8" t="s">
        <v>76</v>
      </c>
      <c r="F2" s="9" t="s">
        <v>77</v>
      </c>
      <c r="G2" s="9" t="s">
        <v>91</v>
      </c>
      <c r="H2" s="9" t="s">
        <v>118</v>
      </c>
    </row>
    <row r="3" spans="1:8" ht="89.25" x14ac:dyDescent="0.25">
      <c r="A3" s="2" t="s">
        <v>8</v>
      </c>
      <c r="B3" s="8" t="s">
        <v>47</v>
      </c>
      <c r="C3" s="2" t="s">
        <v>7</v>
      </c>
      <c r="D3" s="8" t="s">
        <v>49</v>
      </c>
      <c r="E3" s="8" t="s">
        <v>63</v>
      </c>
      <c r="F3" s="9" t="s">
        <v>78</v>
      </c>
      <c r="G3" s="9" t="s">
        <v>92</v>
      </c>
      <c r="H3" s="9" t="s">
        <v>119</v>
      </c>
    </row>
    <row r="4" spans="1:8" ht="89.25" x14ac:dyDescent="0.25">
      <c r="A4" s="2" t="s">
        <v>9</v>
      </c>
      <c r="B4" s="8" t="s">
        <v>47</v>
      </c>
      <c r="C4" s="2" t="s">
        <v>7</v>
      </c>
      <c r="D4" s="8" t="s">
        <v>50</v>
      </c>
      <c r="E4" s="8" t="s">
        <v>64</v>
      </c>
      <c r="F4" s="9" t="s">
        <v>79</v>
      </c>
      <c r="G4" s="9" t="s">
        <v>93</v>
      </c>
      <c r="H4" s="9" t="s">
        <v>126</v>
      </c>
    </row>
    <row r="5" spans="1:8" ht="89.25" x14ac:dyDescent="0.25">
      <c r="A5" s="2" t="s">
        <v>10</v>
      </c>
      <c r="B5" s="8" t="s">
        <v>47</v>
      </c>
      <c r="C5" s="2" t="s">
        <v>7</v>
      </c>
      <c r="D5" s="8" t="s">
        <v>51</v>
      </c>
      <c r="E5" s="8" t="s">
        <v>65</v>
      </c>
      <c r="F5" s="9" t="s">
        <v>80</v>
      </c>
      <c r="G5" s="9" t="s">
        <v>94</v>
      </c>
      <c r="H5" s="9" t="s">
        <v>128</v>
      </c>
    </row>
    <row r="6" spans="1:8" ht="89.25" x14ac:dyDescent="0.25">
      <c r="A6" s="2" t="s">
        <v>11</v>
      </c>
      <c r="B6" s="8" t="s">
        <v>47</v>
      </c>
      <c r="C6" s="2" t="s">
        <v>7</v>
      </c>
      <c r="D6" s="8" t="s">
        <v>52</v>
      </c>
      <c r="E6" s="8" t="s">
        <v>66</v>
      </c>
      <c r="F6" s="9" t="s">
        <v>81</v>
      </c>
      <c r="G6" s="9" t="s">
        <v>95</v>
      </c>
      <c r="H6" s="9" t="s">
        <v>127</v>
      </c>
    </row>
    <row r="7" spans="1:8" ht="89.25" x14ac:dyDescent="0.25">
      <c r="A7" s="2" t="s">
        <v>12</v>
      </c>
      <c r="B7" s="8" t="s">
        <v>47</v>
      </c>
      <c r="C7" s="2" t="s">
        <v>7</v>
      </c>
      <c r="D7" s="8" t="s">
        <v>53</v>
      </c>
      <c r="E7" s="8" t="s">
        <v>67</v>
      </c>
      <c r="F7" s="9" t="s">
        <v>82</v>
      </c>
      <c r="G7" s="9" t="s">
        <v>96</v>
      </c>
      <c r="H7" s="9" t="s">
        <v>126</v>
      </c>
    </row>
    <row r="8" spans="1:8" ht="89.25" x14ac:dyDescent="0.25">
      <c r="A8" s="2" t="s">
        <v>13</v>
      </c>
      <c r="B8" s="8" t="s">
        <v>47</v>
      </c>
      <c r="C8" s="2" t="s">
        <v>7</v>
      </c>
      <c r="D8" s="8" t="s">
        <v>54</v>
      </c>
      <c r="E8" s="8" t="s">
        <v>68</v>
      </c>
      <c r="F8" s="9" t="s">
        <v>83</v>
      </c>
      <c r="G8" s="9" t="s">
        <v>97</v>
      </c>
      <c r="H8" s="9" t="s">
        <v>105</v>
      </c>
    </row>
    <row r="9" spans="1:8" ht="63.75" x14ac:dyDescent="0.25">
      <c r="A9" s="2" t="s">
        <v>14</v>
      </c>
      <c r="B9" s="8" t="s">
        <v>47</v>
      </c>
      <c r="C9" s="2" t="s">
        <v>7</v>
      </c>
      <c r="D9" s="8" t="s">
        <v>55</v>
      </c>
      <c r="E9" s="8" t="s">
        <v>69</v>
      </c>
      <c r="F9" s="9" t="s">
        <v>84</v>
      </c>
      <c r="G9" s="9" t="s">
        <v>98</v>
      </c>
      <c r="H9" s="9" t="s">
        <v>125</v>
      </c>
    </row>
    <row r="10" spans="1:8" ht="63.75" x14ac:dyDescent="0.25">
      <c r="A10" s="2" t="s">
        <v>15</v>
      </c>
      <c r="B10" s="8" t="s">
        <v>47</v>
      </c>
      <c r="C10" s="2" t="s">
        <v>7</v>
      </c>
      <c r="D10" s="8" t="s">
        <v>56</v>
      </c>
      <c r="E10" s="8" t="s">
        <v>70</v>
      </c>
      <c r="F10" s="9" t="s">
        <v>85</v>
      </c>
      <c r="G10" s="9" t="s">
        <v>99</v>
      </c>
      <c r="H10" s="9" t="s">
        <v>124</v>
      </c>
    </row>
    <row r="11" spans="1:8" ht="63.75" x14ac:dyDescent="0.25">
      <c r="A11" s="2" t="s">
        <v>16</v>
      </c>
      <c r="B11" s="8" t="s">
        <v>47</v>
      </c>
      <c r="C11" s="2" t="s">
        <v>7</v>
      </c>
      <c r="D11" s="8" t="s">
        <v>57</v>
      </c>
      <c r="E11" s="8" t="s">
        <v>71</v>
      </c>
      <c r="F11" s="9" t="s">
        <v>86</v>
      </c>
      <c r="G11" s="9" t="s">
        <v>104</v>
      </c>
      <c r="H11" s="9" t="s">
        <v>106</v>
      </c>
    </row>
    <row r="12" spans="1:8" ht="51" x14ac:dyDescent="0.25">
      <c r="A12" s="2" t="s">
        <v>17</v>
      </c>
      <c r="B12" s="8" t="s">
        <v>47</v>
      </c>
      <c r="C12" s="2" t="s">
        <v>7</v>
      </c>
      <c r="D12" s="8" t="s">
        <v>58</v>
      </c>
      <c r="E12" s="8" t="s">
        <v>72</v>
      </c>
      <c r="F12" s="9" t="s">
        <v>87</v>
      </c>
      <c r="G12" s="9" t="s">
        <v>100</v>
      </c>
      <c r="H12" s="9" t="s">
        <v>123</v>
      </c>
    </row>
    <row r="13" spans="1:8" ht="63.75" x14ac:dyDescent="0.25">
      <c r="A13" s="2" t="s">
        <v>18</v>
      </c>
      <c r="B13" s="8" t="s">
        <v>47</v>
      </c>
      <c r="C13" s="2" t="s">
        <v>7</v>
      </c>
      <c r="D13" s="8" t="s">
        <v>59</v>
      </c>
      <c r="E13" s="8" t="s">
        <v>73</v>
      </c>
      <c r="F13" s="9" t="s">
        <v>88</v>
      </c>
      <c r="G13" s="9" t="s">
        <v>101</v>
      </c>
      <c r="H13" s="9" t="s">
        <v>122</v>
      </c>
    </row>
    <row r="14" spans="1:8" ht="63.75" x14ac:dyDescent="0.25">
      <c r="A14" s="2" t="s">
        <v>19</v>
      </c>
      <c r="B14" s="8" t="s">
        <v>47</v>
      </c>
      <c r="C14" s="2" t="s">
        <v>7</v>
      </c>
      <c r="D14" s="8" t="s">
        <v>60</v>
      </c>
      <c r="E14" s="8" t="s">
        <v>74</v>
      </c>
      <c r="F14" s="9" t="s">
        <v>89</v>
      </c>
      <c r="G14" s="9" t="s">
        <v>102</v>
      </c>
      <c r="H14" s="9" t="s">
        <v>121</v>
      </c>
    </row>
    <row r="15" spans="1:8" ht="63.75" x14ac:dyDescent="0.25">
      <c r="A15" s="2" t="s">
        <v>20</v>
      </c>
      <c r="B15" s="8" t="s">
        <v>47</v>
      </c>
      <c r="C15" s="2" t="s">
        <v>7</v>
      </c>
      <c r="D15" s="8" t="s">
        <v>61</v>
      </c>
      <c r="E15" s="8" t="s">
        <v>75</v>
      </c>
      <c r="F15" s="9" t="s">
        <v>90</v>
      </c>
      <c r="G15" s="9" t="s">
        <v>103</v>
      </c>
      <c r="H15" s="9" t="s">
        <v>120</v>
      </c>
    </row>
    <row r="16" spans="1:8" ht="140.25" x14ac:dyDescent="0.25">
      <c r="A16" s="2" t="s">
        <v>21</v>
      </c>
      <c r="B16" s="8" t="s">
        <v>109</v>
      </c>
      <c r="C16" s="2" t="s">
        <v>7</v>
      </c>
      <c r="D16" s="8" t="s">
        <v>107</v>
      </c>
      <c r="E16" s="8" t="s">
        <v>110</v>
      </c>
      <c r="F16" s="9" t="s">
        <v>111</v>
      </c>
      <c r="G16" s="9" t="s">
        <v>114</v>
      </c>
      <c r="H16" s="9" t="s">
        <v>116</v>
      </c>
    </row>
    <row r="17" spans="1:8" ht="140.25" x14ac:dyDescent="0.25">
      <c r="A17" s="2" t="s">
        <v>22</v>
      </c>
      <c r="B17" s="8" t="s">
        <v>109</v>
      </c>
      <c r="C17" s="2" t="s">
        <v>7</v>
      </c>
      <c r="D17" s="8" t="s">
        <v>108</v>
      </c>
      <c r="E17" s="8" t="s">
        <v>112</v>
      </c>
      <c r="F17" s="9" t="s">
        <v>113</v>
      </c>
      <c r="G17" s="9" t="s">
        <v>115</v>
      </c>
      <c r="H17" s="9" t="s">
        <v>117</v>
      </c>
    </row>
  </sheetData>
  <phoneticPr fontId="7"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
  <sheetViews>
    <sheetView showGridLines="0" workbookViewId="0">
      <pane ySplit="1" topLeftCell="A2" activePane="bottomLeft" state="frozen"/>
      <selection pane="bottomLeft" activeCell="C2" sqref="C2"/>
    </sheetView>
  </sheetViews>
  <sheetFormatPr baseColWidth="10" defaultColWidth="9.140625" defaultRowHeight="15" x14ac:dyDescent="0.25"/>
  <cols>
    <col min="1" max="1" width="34" customWidth="1"/>
    <col min="2" max="2" width="10" customWidth="1"/>
    <col min="3" max="4" width="14" customWidth="1"/>
    <col min="5" max="5" width="22" customWidth="1"/>
    <col min="6" max="6" width="23.85546875" customWidth="1"/>
    <col min="7" max="9" width="19" customWidth="1"/>
    <col min="10" max="11" width="22" customWidth="1"/>
    <col min="12" max="14" width="19" customWidth="1"/>
    <col min="15" max="15" width="22" customWidth="1"/>
    <col min="16" max="19" width="15" customWidth="1"/>
    <col min="20" max="20" width="16" customWidth="1"/>
    <col min="21" max="21" width="18" customWidth="1"/>
    <col min="22" max="22" width="38" customWidth="1"/>
  </cols>
  <sheetData>
    <row r="1" spans="1:22"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row>
    <row r="2" spans="1:22" ht="38.1" customHeight="1" x14ac:dyDescent="0.25">
      <c r="A2" s="3" t="s">
        <v>45</v>
      </c>
      <c r="B2" s="3">
        <v>1</v>
      </c>
      <c r="C2" s="3"/>
      <c r="D2" s="3"/>
      <c r="E2" s="4">
        <v>1000000</v>
      </c>
      <c r="F2" s="6">
        <f t="shared" ref="F2:F13" si="0">18%/12</f>
        <v>1.4999999999999999E-2</v>
      </c>
      <c r="G2" s="4">
        <f>ROUND(-PMT(F2,12,E2),0)</f>
        <v>91680</v>
      </c>
      <c r="H2" s="4">
        <f t="shared" ref="H2:H13" si="1">ROUND(E2*F2,0)</f>
        <v>15000</v>
      </c>
      <c r="I2" s="4">
        <f t="shared" ref="I2:I13" si="2">G2-H2</f>
        <v>76680</v>
      </c>
      <c r="J2" s="4">
        <f t="shared" ref="J2:J13" si="3">MAX(0,E2-I2)</f>
        <v>923320</v>
      </c>
      <c r="K2" s="5"/>
      <c r="L2" s="5"/>
      <c r="M2" s="5"/>
      <c r="N2" s="5"/>
      <c r="O2" s="5"/>
      <c r="P2" s="4" t="str">
        <f t="shared" ref="P2:P13" si="4">IF(OR(G2="",L2=""),"",L2-G2)</f>
        <v/>
      </c>
      <c r="Q2" s="4" t="str">
        <f t="shared" ref="Q2:Q13" si="5">IF(OR(H2="",M2=""),"",M2-H2)</f>
        <v/>
      </c>
      <c r="R2" s="4" t="str">
        <f t="shared" ref="R2:R13" si="6">IF(OR(I2="",N2=""),"",N2-I2)</f>
        <v/>
      </c>
      <c r="S2" s="4" t="str">
        <f t="shared" ref="S2:S13" si="7">IF(OR(J2="",O2=""),"",O2-J2)</f>
        <v/>
      </c>
      <c r="T2" s="5">
        <v>1</v>
      </c>
      <c r="U2" s="3" t="str">
        <f t="shared" ref="U2:U13" si="8">IF(COUNTA(L2:O2)&lt;4,"Pendiente",IF(AND(ABS(P2)&lt;=T2,ABS(Q2)&lt;=T2,ABS(R2)&lt;=T2,ABS(S2)&lt;=T2),"Coincide","No coincide"))</f>
        <v>Pendiente</v>
      </c>
      <c r="V2" s="3"/>
    </row>
    <row r="3" spans="1:22" ht="38.1" customHeight="1" x14ac:dyDescent="0.25">
      <c r="A3" s="3" t="s">
        <v>45</v>
      </c>
      <c r="B3" s="3">
        <v>2</v>
      </c>
      <c r="C3" s="3"/>
      <c r="D3" s="3"/>
      <c r="E3" s="4">
        <f t="shared" ref="E3:E13" si="9">J2</f>
        <v>923320</v>
      </c>
      <c r="F3" s="6">
        <f t="shared" si="0"/>
        <v>1.4999999999999999E-2</v>
      </c>
      <c r="G3" s="4">
        <f t="shared" ref="G3:G13" si="10">$G$2</f>
        <v>91680</v>
      </c>
      <c r="H3" s="4">
        <f t="shared" si="1"/>
        <v>13850</v>
      </c>
      <c r="I3" s="4">
        <f t="shared" si="2"/>
        <v>77830</v>
      </c>
      <c r="J3" s="4">
        <f t="shared" si="3"/>
        <v>845490</v>
      </c>
      <c r="K3" s="5"/>
      <c r="L3" s="5"/>
      <c r="M3" s="5"/>
      <c r="N3" s="5"/>
      <c r="O3" s="5"/>
      <c r="P3" s="4" t="str">
        <f t="shared" si="4"/>
        <v/>
      </c>
      <c r="Q3" s="4" t="str">
        <f t="shared" si="5"/>
        <v/>
      </c>
      <c r="R3" s="4" t="str">
        <f t="shared" si="6"/>
        <v/>
      </c>
      <c r="S3" s="4" t="str">
        <f t="shared" si="7"/>
        <v/>
      </c>
      <c r="T3" s="5">
        <v>1</v>
      </c>
      <c r="U3" s="3" t="str">
        <f t="shared" si="8"/>
        <v>Pendiente</v>
      </c>
      <c r="V3" s="3"/>
    </row>
    <row r="4" spans="1:22" ht="38.1" customHeight="1" x14ac:dyDescent="0.25">
      <c r="A4" s="3" t="s">
        <v>45</v>
      </c>
      <c r="B4" s="3">
        <v>3</v>
      </c>
      <c r="C4" s="3"/>
      <c r="D4" s="3"/>
      <c r="E4" s="4">
        <f t="shared" si="9"/>
        <v>845490</v>
      </c>
      <c r="F4" s="6">
        <f t="shared" si="0"/>
        <v>1.4999999999999999E-2</v>
      </c>
      <c r="G4" s="4">
        <f t="shared" si="10"/>
        <v>91680</v>
      </c>
      <c r="H4" s="4">
        <f t="shared" si="1"/>
        <v>12682</v>
      </c>
      <c r="I4" s="4">
        <f t="shared" si="2"/>
        <v>78998</v>
      </c>
      <c r="J4" s="4">
        <f t="shared" si="3"/>
        <v>766492</v>
      </c>
      <c r="K4" s="5"/>
      <c r="L4" s="5"/>
      <c r="M4" s="5"/>
      <c r="N4" s="5"/>
      <c r="O4" s="5"/>
      <c r="P4" s="4" t="str">
        <f t="shared" si="4"/>
        <v/>
      </c>
      <c r="Q4" s="4" t="str">
        <f t="shared" si="5"/>
        <v/>
      </c>
      <c r="R4" s="4" t="str">
        <f t="shared" si="6"/>
        <v/>
      </c>
      <c r="S4" s="4" t="str">
        <f t="shared" si="7"/>
        <v/>
      </c>
      <c r="T4" s="5">
        <v>1</v>
      </c>
      <c r="U4" s="3" t="str">
        <f t="shared" si="8"/>
        <v>Pendiente</v>
      </c>
      <c r="V4" s="3"/>
    </row>
    <row r="5" spans="1:22" ht="38.1" customHeight="1" x14ac:dyDescent="0.25">
      <c r="A5" s="3" t="s">
        <v>45</v>
      </c>
      <c r="B5" s="3">
        <v>4</v>
      </c>
      <c r="C5" s="3"/>
      <c r="D5" s="3"/>
      <c r="E5" s="4">
        <f t="shared" si="9"/>
        <v>766492</v>
      </c>
      <c r="F5" s="6">
        <f t="shared" si="0"/>
        <v>1.4999999999999999E-2</v>
      </c>
      <c r="G5" s="4">
        <f t="shared" si="10"/>
        <v>91680</v>
      </c>
      <c r="H5" s="4">
        <f t="shared" si="1"/>
        <v>11497</v>
      </c>
      <c r="I5" s="4">
        <f t="shared" si="2"/>
        <v>80183</v>
      </c>
      <c r="J5" s="4">
        <f t="shared" si="3"/>
        <v>686309</v>
      </c>
      <c r="K5" s="5"/>
      <c r="L5" s="5"/>
      <c r="M5" s="5"/>
      <c r="N5" s="5"/>
      <c r="O5" s="5"/>
      <c r="P5" s="4" t="str">
        <f t="shared" si="4"/>
        <v/>
      </c>
      <c r="Q5" s="4" t="str">
        <f t="shared" si="5"/>
        <v/>
      </c>
      <c r="R5" s="4" t="str">
        <f t="shared" si="6"/>
        <v/>
      </c>
      <c r="S5" s="4" t="str">
        <f t="shared" si="7"/>
        <v/>
      </c>
      <c r="T5" s="5">
        <v>1</v>
      </c>
      <c r="U5" s="3" t="str">
        <f t="shared" si="8"/>
        <v>Pendiente</v>
      </c>
      <c r="V5" s="3"/>
    </row>
    <row r="6" spans="1:22" ht="38.1" customHeight="1" x14ac:dyDescent="0.25">
      <c r="A6" s="3" t="s">
        <v>45</v>
      </c>
      <c r="B6" s="3">
        <v>5</v>
      </c>
      <c r="C6" s="3"/>
      <c r="D6" s="3"/>
      <c r="E6" s="4">
        <f t="shared" si="9"/>
        <v>686309</v>
      </c>
      <c r="F6" s="6">
        <f t="shared" si="0"/>
        <v>1.4999999999999999E-2</v>
      </c>
      <c r="G6" s="4">
        <f t="shared" si="10"/>
        <v>91680</v>
      </c>
      <c r="H6" s="4">
        <f t="shared" si="1"/>
        <v>10295</v>
      </c>
      <c r="I6" s="4">
        <f t="shared" si="2"/>
        <v>81385</v>
      </c>
      <c r="J6" s="4">
        <f t="shared" si="3"/>
        <v>604924</v>
      </c>
      <c r="K6" s="5"/>
      <c r="L6" s="5"/>
      <c r="M6" s="5"/>
      <c r="N6" s="5"/>
      <c r="O6" s="5"/>
      <c r="P6" s="4" t="str">
        <f t="shared" si="4"/>
        <v/>
      </c>
      <c r="Q6" s="4" t="str">
        <f t="shared" si="5"/>
        <v/>
      </c>
      <c r="R6" s="4" t="str">
        <f t="shared" si="6"/>
        <v/>
      </c>
      <c r="S6" s="4" t="str">
        <f t="shared" si="7"/>
        <v/>
      </c>
      <c r="T6" s="5">
        <v>1</v>
      </c>
      <c r="U6" s="3" t="str">
        <f t="shared" si="8"/>
        <v>Pendiente</v>
      </c>
      <c r="V6" s="3"/>
    </row>
    <row r="7" spans="1:22" ht="38.1" customHeight="1" x14ac:dyDescent="0.25">
      <c r="A7" s="3" t="s">
        <v>45</v>
      </c>
      <c r="B7" s="3">
        <v>6</v>
      </c>
      <c r="C7" s="3"/>
      <c r="D7" s="3"/>
      <c r="E7" s="4">
        <f t="shared" si="9"/>
        <v>604924</v>
      </c>
      <c r="F7" s="6">
        <f t="shared" si="0"/>
        <v>1.4999999999999999E-2</v>
      </c>
      <c r="G7" s="4">
        <f t="shared" si="10"/>
        <v>91680</v>
      </c>
      <c r="H7" s="4">
        <f t="shared" si="1"/>
        <v>9074</v>
      </c>
      <c r="I7" s="4">
        <f t="shared" si="2"/>
        <v>82606</v>
      </c>
      <c r="J7" s="4">
        <f t="shared" si="3"/>
        <v>522318</v>
      </c>
      <c r="K7" s="5"/>
      <c r="L7" s="5"/>
      <c r="M7" s="5"/>
      <c r="N7" s="5"/>
      <c r="O7" s="5"/>
      <c r="P7" s="4" t="str">
        <f t="shared" si="4"/>
        <v/>
      </c>
      <c r="Q7" s="4" t="str">
        <f t="shared" si="5"/>
        <v/>
      </c>
      <c r="R7" s="4" t="str">
        <f t="shared" si="6"/>
        <v/>
      </c>
      <c r="S7" s="4" t="str">
        <f t="shared" si="7"/>
        <v/>
      </c>
      <c r="T7" s="5">
        <v>1</v>
      </c>
      <c r="U7" s="3" t="str">
        <f t="shared" si="8"/>
        <v>Pendiente</v>
      </c>
      <c r="V7" s="3"/>
    </row>
    <row r="8" spans="1:22" ht="38.1" customHeight="1" x14ac:dyDescent="0.25">
      <c r="A8" s="3" t="s">
        <v>45</v>
      </c>
      <c r="B8" s="3">
        <v>7</v>
      </c>
      <c r="C8" s="3"/>
      <c r="D8" s="3"/>
      <c r="E8" s="4">
        <f t="shared" si="9"/>
        <v>522318</v>
      </c>
      <c r="F8" s="6">
        <f t="shared" si="0"/>
        <v>1.4999999999999999E-2</v>
      </c>
      <c r="G8" s="4">
        <f t="shared" si="10"/>
        <v>91680</v>
      </c>
      <c r="H8" s="4">
        <f t="shared" si="1"/>
        <v>7835</v>
      </c>
      <c r="I8" s="4">
        <f t="shared" si="2"/>
        <v>83845</v>
      </c>
      <c r="J8" s="4">
        <f t="shared" si="3"/>
        <v>438473</v>
      </c>
      <c r="K8" s="5"/>
      <c r="L8" s="5"/>
      <c r="M8" s="5"/>
      <c r="N8" s="5"/>
      <c r="O8" s="5"/>
      <c r="P8" s="4" t="str">
        <f t="shared" si="4"/>
        <v/>
      </c>
      <c r="Q8" s="4" t="str">
        <f t="shared" si="5"/>
        <v/>
      </c>
      <c r="R8" s="4" t="str">
        <f t="shared" si="6"/>
        <v/>
      </c>
      <c r="S8" s="4" t="str">
        <f t="shared" si="7"/>
        <v/>
      </c>
      <c r="T8" s="5">
        <v>1</v>
      </c>
      <c r="U8" s="3" t="str">
        <f t="shared" si="8"/>
        <v>Pendiente</v>
      </c>
      <c r="V8" s="3"/>
    </row>
    <row r="9" spans="1:22" ht="38.1" customHeight="1" x14ac:dyDescent="0.25">
      <c r="A9" s="3" t="s">
        <v>45</v>
      </c>
      <c r="B9" s="3">
        <v>8</v>
      </c>
      <c r="C9" s="3"/>
      <c r="D9" s="3"/>
      <c r="E9" s="4">
        <f t="shared" si="9"/>
        <v>438473</v>
      </c>
      <c r="F9" s="6">
        <f t="shared" si="0"/>
        <v>1.4999999999999999E-2</v>
      </c>
      <c r="G9" s="4">
        <f t="shared" si="10"/>
        <v>91680</v>
      </c>
      <c r="H9" s="4">
        <f t="shared" si="1"/>
        <v>6577</v>
      </c>
      <c r="I9" s="4">
        <f t="shared" si="2"/>
        <v>85103</v>
      </c>
      <c r="J9" s="4">
        <f t="shared" si="3"/>
        <v>353370</v>
      </c>
      <c r="K9" s="5"/>
      <c r="L9" s="5"/>
      <c r="M9" s="5"/>
      <c r="N9" s="5"/>
      <c r="O9" s="5"/>
      <c r="P9" s="4" t="str">
        <f t="shared" si="4"/>
        <v/>
      </c>
      <c r="Q9" s="4" t="str">
        <f t="shared" si="5"/>
        <v/>
      </c>
      <c r="R9" s="4" t="str">
        <f t="shared" si="6"/>
        <v/>
      </c>
      <c r="S9" s="4" t="str">
        <f t="shared" si="7"/>
        <v/>
      </c>
      <c r="T9" s="5">
        <v>1</v>
      </c>
      <c r="U9" s="3" t="str">
        <f t="shared" si="8"/>
        <v>Pendiente</v>
      </c>
      <c r="V9" s="3"/>
    </row>
    <row r="10" spans="1:22" ht="38.1" customHeight="1" x14ac:dyDescent="0.25">
      <c r="A10" s="3" t="s">
        <v>45</v>
      </c>
      <c r="B10" s="3">
        <v>9</v>
      </c>
      <c r="C10" s="3"/>
      <c r="D10" s="3"/>
      <c r="E10" s="4">
        <f t="shared" si="9"/>
        <v>353370</v>
      </c>
      <c r="F10" s="6">
        <f t="shared" si="0"/>
        <v>1.4999999999999999E-2</v>
      </c>
      <c r="G10" s="4">
        <f t="shared" si="10"/>
        <v>91680</v>
      </c>
      <c r="H10" s="4">
        <f t="shared" si="1"/>
        <v>5301</v>
      </c>
      <c r="I10" s="4">
        <f t="shared" si="2"/>
        <v>86379</v>
      </c>
      <c r="J10" s="4">
        <f t="shared" si="3"/>
        <v>266991</v>
      </c>
      <c r="K10" s="5"/>
      <c r="L10" s="5"/>
      <c r="M10" s="5"/>
      <c r="N10" s="5"/>
      <c r="O10" s="5"/>
      <c r="P10" s="4" t="str">
        <f t="shared" si="4"/>
        <v/>
      </c>
      <c r="Q10" s="4" t="str">
        <f t="shared" si="5"/>
        <v/>
      </c>
      <c r="R10" s="4" t="str">
        <f t="shared" si="6"/>
        <v/>
      </c>
      <c r="S10" s="4" t="str">
        <f t="shared" si="7"/>
        <v/>
      </c>
      <c r="T10" s="5">
        <v>1</v>
      </c>
      <c r="U10" s="3" t="str">
        <f t="shared" si="8"/>
        <v>Pendiente</v>
      </c>
      <c r="V10" s="3"/>
    </row>
    <row r="11" spans="1:22" ht="38.1" customHeight="1" x14ac:dyDescent="0.25">
      <c r="A11" s="3" t="s">
        <v>45</v>
      </c>
      <c r="B11" s="3">
        <v>10</v>
      </c>
      <c r="C11" s="3"/>
      <c r="D11" s="3"/>
      <c r="E11" s="4">
        <f t="shared" si="9"/>
        <v>266991</v>
      </c>
      <c r="F11" s="6">
        <f t="shared" si="0"/>
        <v>1.4999999999999999E-2</v>
      </c>
      <c r="G11" s="4">
        <f t="shared" si="10"/>
        <v>91680</v>
      </c>
      <c r="H11" s="4">
        <f t="shared" si="1"/>
        <v>4005</v>
      </c>
      <c r="I11" s="4">
        <f t="shared" si="2"/>
        <v>87675</v>
      </c>
      <c r="J11" s="4">
        <f t="shared" si="3"/>
        <v>179316</v>
      </c>
      <c r="K11" s="5"/>
      <c r="L11" s="5"/>
      <c r="M11" s="5"/>
      <c r="N11" s="5"/>
      <c r="O11" s="5"/>
      <c r="P11" s="4" t="str">
        <f t="shared" si="4"/>
        <v/>
      </c>
      <c r="Q11" s="4" t="str">
        <f t="shared" si="5"/>
        <v/>
      </c>
      <c r="R11" s="4" t="str">
        <f t="shared" si="6"/>
        <v/>
      </c>
      <c r="S11" s="4" t="str">
        <f t="shared" si="7"/>
        <v/>
      </c>
      <c r="T11" s="5">
        <v>1</v>
      </c>
      <c r="U11" s="3" t="str">
        <f t="shared" si="8"/>
        <v>Pendiente</v>
      </c>
      <c r="V11" s="3"/>
    </row>
    <row r="12" spans="1:22" ht="38.1" customHeight="1" x14ac:dyDescent="0.25">
      <c r="A12" s="3" t="s">
        <v>45</v>
      </c>
      <c r="B12" s="3">
        <v>11</v>
      </c>
      <c r="C12" s="3"/>
      <c r="D12" s="3"/>
      <c r="E12" s="4">
        <f t="shared" si="9"/>
        <v>179316</v>
      </c>
      <c r="F12" s="6">
        <f t="shared" si="0"/>
        <v>1.4999999999999999E-2</v>
      </c>
      <c r="G12" s="4">
        <f t="shared" si="10"/>
        <v>91680</v>
      </c>
      <c r="H12" s="4">
        <f t="shared" si="1"/>
        <v>2690</v>
      </c>
      <c r="I12" s="4">
        <f t="shared" si="2"/>
        <v>88990</v>
      </c>
      <c r="J12" s="4">
        <f t="shared" si="3"/>
        <v>90326</v>
      </c>
      <c r="K12" s="5"/>
      <c r="L12" s="5"/>
      <c r="M12" s="5"/>
      <c r="N12" s="5"/>
      <c r="O12" s="5"/>
      <c r="P12" s="4" t="str">
        <f t="shared" si="4"/>
        <v/>
      </c>
      <c r="Q12" s="4" t="str">
        <f t="shared" si="5"/>
        <v/>
      </c>
      <c r="R12" s="4" t="str">
        <f t="shared" si="6"/>
        <v/>
      </c>
      <c r="S12" s="4" t="str">
        <f t="shared" si="7"/>
        <v/>
      </c>
      <c r="T12" s="5">
        <v>1</v>
      </c>
      <c r="U12" s="3" t="str">
        <f t="shared" si="8"/>
        <v>Pendiente</v>
      </c>
      <c r="V12" s="3"/>
    </row>
    <row r="13" spans="1:22" ht="38.1" customHeight="1" x14ac:dyDescent="0.25">
      <c r="A13" s="3" t="s">
        <v>45</v>
      </c>
      <c r="B13" s="3">
        <v>12</v>
      </c>
      <c r="C13" s="3"/>
      <c r="D13" s="3"/>
      <c r="E13" s="4">
        <f t="shared" si="9"/>
        <v>90326</v>
      </c>
      <c r="F13" s="6">
        <f t="shared" si="0"/>
        <v>1.4999999999999999E-2</v>
      </c>
      <c r="G13" s="4">
        <f t="shared" si="10"/>
        <v>91680</v>
      </c>
      <c r="H13" s="4">
        <f t="shared" si="1"/>
        <v>1355</v>
      </c>
      <c r="I13" s="4">
        <f t="shared" si="2"/>
        <v>90325</v>
      </c>
      <c r="J13" s="4">
        <f t="shared" si="3"/>
        <v>1</v>
      </c>
      <c r="K13" s="5"/>
      <c r="L13" s="5"/>
      <c r="M13" s="5"/>
      <c r="N13" s="5"/>
      <c r="O13" s="5"/>
      <c r="P13" s="4" t="str">
        <f t="shared" si="4"/>
        <v/>
      </c>
      <c r="Q13" s="4" t="str">
        <f t="shared" si="5"/>
        <v/>
      </c>
      <c r="R13" s="4" t="str">
        <f t="shared" si="6"/>
        <v/>
      </c>
      <c r="S13" s="4" t="str">
        <f t="shared" si="7"/>
        <v/>
      </c>
      <c r="T13" s="5">
        <v>1</v>
      </c>
      <c r="U13" s="3" t="str">
        <f t="shared" si="8"/>
        <v>Pendiente</v>
      </c>
      <c r="V13" s="3"/>
    </row>
  </sheetData>
  <conditionalFormatting sqref="U2:U13">
    <cfRule type="expression" dxfId="1" priority="1">
      <formula>$U2="Coincide"</formula>
    </cfRule>
    <cfRule type="expression" dxfId="0" priority="2">
      <formula>$U2="No coincide"</formula>
    </cfRule>
  </conditionalFormatting>
  <pageMargins left="0.75" right="0.75" top="1" bottom="1" header="0.5" footer="0.5"/>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CBA8B4B2DA452478C522DB983088644" ma:contentTypeVersion="15" ma:contentTypeDescription="Crear nuevo documento." ma:contentTypeScope="" ma:versionID="4ce7e2f48c4bbdf8a6e0730e08b1c6ad">
  <xsd:schema xmlns:xsd="http://www.w3.org/2001/XMLSchema" xmlns:xs="http://www.w3.org/2001/XMLSchema" xmlns:p="http://schemas.microsoft.com/office/2006/metadata/properties" xmlns:ns2="5e4e0028-2f97-4019-93f2-e8e74df06537" xmlns:ns3="faab6672-0477-4a8f-9a52-4c2b6f94bd85" targetNamespace="http://schemas.microsoft.com/office/2006/metadata/properties" ma:root="true" ma:fieldsID="017ea8daab242ae44810307ae9f79922" ns2:_="" ns3:_="">
    <xsd:import namespace="5e4e0028-2f97-4019-93f2-e8e74df06537"/>
    <xsd:import namespace="faab6672-0477-4a8f-9a52-4c2b6f94bd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e0028-2f97-4019-93f2-e8e74df065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aaefc598-f7d3-4ec6-9fca-3994ace8c74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aab6672-0477-4a8f-9a52-4c2b6f94bd8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2e31aa0-4d9e-4cce-a87f-1da8bdb111af}" ma:internalName="TaxCatchAll" ma:showField="CatchAllData" ma:web="faab6672-0477-4a8f-9a52-4c2b6f94b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ab6672-0477-4a8f-9a52-4c2b6f94bd85" xsi:nil="true"/>
    <lcf76f155ced4ddcb4097134ff3c332f xmlns="5e4e0028-2f97-4019-93f2-e8e74df0653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CCA1CD-3B21-4B45-A116-7710634077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e0028-2f97-4019-93f2-e8e74df06537"/>
    <ds:schemaRef ds:uri="faab6672-0477-4a8f-9a52-4c2b6f94b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646356-20C9-4549-8417-9802CD37C233}">
  <ds:schemaRefs>
    <ds:schemaRef ds:uri="http://schemas.microsoft.com/sharepoint/v3/contenttype/forms"/>
  </ds:schemaRefs>
</ds:datastoreItem>
</file>

<file path=customXml/itemProps3.xml><?xml version="1.0" encoding="utf-8"?>
<ds:datastoreItem xmlns:ds="http://schemas.openxmlformats.org/officeDocument/2006/customXml" ds:itemID="{BAD6F72B-6E7B-4714-8144-24F7C5751E96}">
  <ds:schemaRefs>
    <ds:schemaRef ds:uri="http://schemas.microsoft.com/office/2006/metadata/properties"/>
    <ds:schemaRef ds:uri="http://schemas.microsoft.com/office/infopath/2007/PartnerControls"/>
    <ds:schemaRef ds:uri="faab6672-0477-4a8f-9a52-4c2b6f94bd85"/>
    <ds:schemaRef ds:uri="5e4e0028-2f97-4019-93f2-e8e74df065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 GAP</vt:lpstr>
      <vt:lpstr>Amortización francesa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VIVIANA ELVIRA GONZALEZ ROMERO</dc:creator>
  <cp:keywords/>
  <dc:description/>
  <cp:lastModifiedBy>Paola Andrea Ramirez Garcia</cp:lastModifiedBy>
  <cp:revision/>
  <dcterms:created xsi:type="dcterms:W3CDTF">2026-09-16T15:46:19Z</dcterms:created>
  <dcterms:modified xsi:type="dcterms:W3CDTF">2026-10-28T19:28:53Z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0x010100DCBA8B4B2DA452478C522DB983088644</vt:lpwstr>
  </property>
  <property fmtid="{D5CDD505-2E9C-101B-9397-08002B2CF9AE}" pid="3" name="MediaServiceImageTags">
    <vt:lpwstr/>
  </property>
</Properties>
</file>